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Decisions" sheetId="2" state="visible" r:id="rId4"/>
    <sheet name="Scope" sheetId="3" state="visible" r:id="rId5"/>
    <sheet name="Weights" sheetId="4" state="visible" r:id="rId6"/>
    <sheet name="Release Gat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<sst xmlns="http://schemas.openxmlformats.org/spreadsheetml/2006/main" count="313" uniqueCount="259">
  <si>
    <t xml:space="preserve">Finora — v1.0 Decision Workbook</t>
  </si>
  <si>
    <t xml:space="preserve">Baselined 2026-08-09 · companion to docs/engineering/project-plan-v1.0.md</t>
  </si>
  <si>
    <t xml:space="preserve">What this is</t>
  </si>
  <si>
    <t xml:space="preserve">Every open decision I need from you, in one place. Answer them here and I will re-baseline the plan — dates, critical path, risks — against your answers.</t>
  </si>
  <si>
    <t xml:space="preserve">How to use it</t>
  </si>
  <si>
    <t xml:space="preserve">Fill in every YELLOW cell. Everything else is either a formula or my analysis; leave it alone and it will update itself.</t>
  </si>
  <si>
    <t xml:space="preserve">Legend</t>
  </si>
  <si>
    <t xml:space="preserve">Yellow cell</t>
  </si>
  <si>
    <t xml:space="preserve">You fill this in. Usually a dropdown — click the cell, then the arrow on its right.</t>
  </si>
  <si>
    <t xml:space="preserve">Blue text</t>
  </si>
  <si>
    <t xml:space="preserve">A number you can overwrite to test a what-if (e.g. your own workstream weights).</t>
  </si>
  <si>
    <t xml:space="preserve">Shaded blue cell</t>
  </si>
  <si>
    <t xml:space="preserve">Calculated. Do not type over it or it stops recalculating.</t>
  </si>
  <si>
    <t xml:space="preserve">Green row</t>
  </si>
  <si>
    <t xml:space="preserve">Already decided — kept for the record so the reasoning is not lost.</t>
  </si>
  <si>
    <t xml:space="preserve">The four tabs</t>
  </si>
  <si>
    <t xml:space="preserve">Decisions</t>
  </si>
  <si>
    <t xml:space="preserve">The main one. 8 open decisions, D-3 to D-11. Start with D-9 — it is the only one that moves the launch date on its own.</t>
  </si>
  <si>
    <t xml:space="preserve">Scope</t>
  </si>
  <si>
    <t xml:space="preserve">Every remaining work item. Set each to v1.0 / v1.1 / Cut and watch the day count at the top move. This is where you can buy the date back if you want it earlier.</t>
  </si>
  <si>
    <t xml:space="preserve">Weights</t>
  </si>
  <si>
    <t xml:space="preserve">I weighted the workstreams to get '65% complete'. If you value them differently, change your weights and the percentage recalculates. Overrule me freely.</t>
  </si>
  <si>
    <t xml:space="preserve">Release Gates</t>
  </si>
  <si>
    <t xml:space="preserve">What 'ready' means, and what is left under each gate. Mark a gate PASSED only when you would defend it to a user.</t>
  </si>
  <si>
    <t xml:space="preserve">Worked example</t>
  </si>
  <si>
    <t xml:space="preserve">A filled-in Decisions row looks like this — the answer is picked from the dropdown, and the note is where the reasoning goes:</t>
  </si>
  <si>
    <t xml:space="preserve">Decision</t>
  </si>
  <si>
    <t xml:space="preserve">D-3 — Statement retention policy</t>
  </si>
  <si>
    <t xml:space="preserve">Your answer</t>
  </si>
  <si>
    <t xml:space="preserve">30 days</t>
  </si>
  <si>
    <t xml:space="preserve">Your note</t>
  </si>
  <si>
    <t xml:space="preserve">Long enough to re-run a failed import, short enough that a breach exposes one month. Revisit if support asks for more.</t>
  </si>
  <si>
    <t xml:space="preserve">Do this today</t>
  </si>
  <si>
    <t xml:space="preserve">Enrol in the Apple Developer Program and Google Play Console. Roughly two hours of forms against a wait of 2–7 weeks that nothing else can shorten. It currently sits at day zero and it gates the whole mobile chain — including whether Firebase phone auth works on a real iPhone, which needs a paid account for APNs.</t>
  </si>
  <si>
    <t xml:space="preserve">Open decisions</t>
  </si>
  <si>
    <t xml:space="preserve">Fill the yellow columns. D-9 first — it is the only one that moves the date by itself.</t>
  </si>
  <si>
    <t xml:space="preserve">ID</t>
  </si>
  <si>
    <t xml:space="preserve">Why it matters</t>
  </si>
  <si>
    <t xml:space="preserve">My recommendation</t>
  </si>
  <si>
    <t xml:space="preserve">YOUR ANSWER</t>
  </si>
  <si>
    <t xml:space="preserve">Your note / reasoning</t>
  </si>
  <si>
    <t xml:space="preserve">Effect on go-live</t>
  </si>
  <si>
    <t xml:space="preserve">D-1</t>
  </si>
  <si>
    <t xml:space="preserve">Is production serving real users with real financial data?</t>
  </si>
  <si>
    <t xml:space="preserve">Decides whether the 56-finding backlog is a pre-launch queue or a live incident.</t>
  </si>
  <si>
    <t xml:space="preserve">Answer before anything else.</t>
  </si>
  <si>
    <t xml:space="preserve">RESOLVED — No, owner testing only</t>
  </si>
  <si>
    <t xml:space="preserve">Closed R-3. Saved ~1–2 d of balance-repair migration.</t>
  </si>
  <si>
    <t xml:space="preserve">D-2</t>
  </si>
  <si>
    <t xml:space="preserve">Is mobile in v1.0 or v1.1?</t>
  </si>
  <si>
    <t xml:space="preserve">Mobile has never run on a physical device, and two auth flows cannot run in a simulator at all.</t>
  </si>
  <si>
    <t xml:space="preserve">v1.1 — ship web first, then mobile on a proven pipeline.</t>
  </si>
  <si>
    <t xml:space="preserve">RESOLVED — Mobile is in v1.0</t>
  </si>
  <si>
    <t xml:space="preserve">+13–19 d. Target moved 2026-09-19 → 2026-10-16.</t>
  </si>
  <si>
    <t xml:space="preserve">D-8</t>
  </si>
  <si>
    <t xml:space="preserve">Are the store accounts already enrolled?</t>
  </si>
  <si>
    <t xml:space="preserve">Apple's tail is 2–7 weeks and blocks iOS device bring-up entirely.</t>
  </si>
  <si>
    <t xml:space="preserve">If not, enrol today — before any code work.</t>
  </si>
  <si>
    <t xml:space="preserve">RESOLVED — Neither exists yet</t>
  </si>
  <si>
    <t xml:space="preserve">Conservative moved 2026-11-13 → 2026-11-27.</t>
  </si>
  <si>
    <t xml:space="preserve">D-9</t>
  </si>
  <si>
    <t xml:space="preserve">Individual or organisation store accounts?</t>
  </si>
  <si>
    <t xml:space="preserve">The fork that sets the Android date. Individual: Apple clears fast, but Google imposes a 12-tester / 14-day closed test.</t>
  </si>
  <si>
    <t xml:space="preserve">Individual if no legal entity exists — incorporating first costs more time than the tester clock does.</t>
  </si>
  <si>
    <t xml:space="preserve">RESOLVED — Individual (no legal entity yet)</t>
  </si>
  <si>
    <t xml:space="preserve">Google's 12-tester gate now APPLIES. The 2026-09-12 milestone is binding.</t>
  </si>
  <si>
    <t xml:space="preserve">D-10</t>
  </si>
  <si>
    <t xml:space="preserve">Who are the 12 Play testers?</t>
  </si>
  <si>
    <t xml:space="preserve">NOW LIVE, because D-9 = Individual. Twelve real Google accounts on real Android devices, opted in CONTINUOUSLY for 14 days. Internal testing does not count — it must be a closed test. Dropping below 12 at any point can reset the streak to zero.</t>
  </si>
  <si>
    <t xml:space="preserve">Recruit 15–16 to reliably hold 12, and line them up during Phase 4 rather than on the day the build is ready. Never use a paid tester service — it breaches Play policy, and account termination on a financial app is not a recoverable position.</t>
  </si>
  <si>
    <t xml:space="preserve">If the streak resets, +14 days straight off the Target date.</t>
  </si>
  <si>
    <t xml:space="preserve">D-11</t>
  </si>
  <si>
    <t xml:space="preserve">Launch both platforms together, or iOS first?</t>
  </si>
  <si>
    <t xml:space="preserve">NOW LIVE, because D-9 = Individual. TestFlight has no tester gate, so iOS can be production-ready roughly 3 weeks before Android.</t>
  </si>
  <si>
    <t xml:space="preserve">Launch together — the reason mobile went into v1.0 was one coherent release, and 'v1.0' meaning different things on different platforms undoes that. Revisit if Apple's enrolment tail runs long, because then Android would lead instead.</t>
  </si>
  <si>
    <t xml:space="preserve">iOS-first could pull a partial launch ~3 weeks earlier.</t>
  </si>
  <si>
    <t xml:space="preserve">D-12</t>
  </si>
  <si>
    <t xml:space="preserve">Who is the named data controller in the privacy policy?</t>
  </si>
  <si>
    <t xml:space="preserve">Raised by D-9. Both stores require a published privacy policy naming who holds the data and how to contact them. Without a legal entity that is you personally, and the contact details become public on both store listings. Finora ingests bank statements, so this is not a formality.</t>
  </si>
  <si>
    <t xml:space="preserve">Not my call to make — get a professional view on what an individual operator handling financial data owes under Indian law (DPDP) before the policy is published, since it is far cheaper to decide now than to re-paper after launch. Practical middle ground: a dedicated support address and a registered post-box rather than a home address.</t>
  </si>
  <si>
    <t xml:space="preserve">None on the date if handled during Phase 4. Incorporating first would add 2–4 weeks.</t>
  </si>
  <si>
    <t xml:space="preserve">D-3</t>
  </si>
  <si>
    <t xml:space="preserve">How long are uploaded statement bytes kept?</t>
  </si>
  <si>
    <t xml:space="preserve">Blocks BH-017. The code documents 48-hour retention and currently keeps them forever. Also decides what the privacy policy can truthfully claim, which the stores will read.</t>
  </si>
  <si>
    <t xml:space="preserve">30 days, then hard-delete, enforced by a job with a test. Long enough to re-run a failed import, short enough that a breach exposes one month rather than everything.</t>
  </si>
  <si>
    <t xml:space="preserve">None on the date. Shapes the privacy policy, which is a store gate.</t>
  </si>
  <si>
    <t xml:space="preserve">D-4</t>
  </si>
  <si>
    <t xml:space="preserve">One backend instance at launch, or several?</t>
  </si>
  <si>
    <t xml:space="preserve">Rate limiting and the import concurrency limiter are both in-memory. A second replica silently degrades both — BH-034.</t>
  </si>
  <si>
    <t xml:space="preserve">One instance through beta, and decide on the load test's evidence rather than in advance. Redis before GA only if projected load actually needs it.</t>
  </si>
  <si>
    <t xml:space="preserve">Multiple instances adds ~2–3 d for Redis before GA.</t>
  </si>
  <si>
    <t xml:space="preserve">D-5</t>
  </si>
  <si>
    <t xml:space="preserve">Async imports: row-count threshold, or fix the poll interval?</t>
  </si>
  <si>
    <t xml:space="preserve">Measured, and deliberately left open. Queue overhead is a constant ~20 ms; the client's 1500 ms poll is ~98% of the penalty for queueing a small statement.</t>
  </si>
  <si>
    <t xml:space="preserve">Poll immediately then back off, re-measure, and probably never add a threshold — a threshold needs the row count, which needs the parse, which is the work being deferred.</t>
  </si>
  <si>
    <t xml:space="preserve">Poll-interval fix is ~0.5 d. A threshold is ~2 d and adds a code path.</t>
  </si>
  <si>
    <t xml:space="preserve">D-6</t>
  </si>
  <si>
    <t xml:space="preserve">Does the backend enforce the password complexity the frontend suggests?</t>
  </si>
  <si>
    <t xml:space="preserve">They have drifted. The backend enforces 8–72 characters; the frontend shows an uppercase/lowercase/number/symbol checklist framed as a suggestion precisely because the backend does not enforce it.</t>
  </si>
  <si>
    <t xml:space="preserve">Pick one policy and make both sides agree in the same release. Do not ship frontend enforcement ahead of the backend.</t>
  </si>
  <si>
    <t xml:space="preserve">~1 d either way. Must not ship half-done.</t>
  </si>
  <si>
    <t xml:space="preserve">D-7</t>
  </si>
  <si>
    <t xml:space="preserve">Pricing and subscription model for v1.0?</t>
  </si>
  <si>
    <t xml:space="preserve">None exists; the Razorpay UI is deliberately disabled. Both app stores require you to declare whether the app contains purchases at submission time, so this cannot be left entirely open.</t>
  </si>
  <si>
    <t xml:space="preserve">Launch free, declare no in-app purchases, and decide pricing before v1.1. Adding billing to v1.0 would put a payment integration on the critical path.</t>
  </si>
  <si>
    <t xml:space="preserve">Adding billing to v1.0 is +5–8 d and a new compliance surface.</t>
  </si>
  <si>
    <t xml:space="preserve">Answered:</t>
  </si>
  <si>
    <t xml:space="preserve">Scope control</t>
  </si>
  <si>
    <t xml:space="preserve">Set each item's release in column G. The totals above the table follow your choices.</t>
  </si>
  <si>
    <t xml:space="preserve">v1.0 effort, from your choices:</t>
  </si>
  <si>
    <t xml:space="preserve">Deferred to v1.1:</t>
  </si>
  <si>
    <t xml:space="preserve">Baseline for reference: 33–47 working days in v1.0, Target 2026-10-16.</t>
  </si>
  <si>
    <t xml:space="preserve">Work item</t>
  </si>
  <si>
    <t xml:space="preserve">Track</t>
  </si>
  <si>
    <t xml:space="preserve">Priority</t>
  </si>
  <si>
    <t xml:space="preserve">Days (low)</t>
  </si>
  <si>
    <t xml:space="preserve">Days (high)</t>
  </si>
  <si>
    <t xml:space="preserve">RELEASE</t>
  </si>
  <si>
    <t xml:space="preserve">Note</t>
  </si>
  <si>
    <t xml:space="preserve">A</t>
  </si>
  <si>
    <t xml:space="preserve">P0 defects: BH-001, 003, 004, 005, 006 + the tests none of them have</t>
  </si>
  <si>
    <t xml:space="preserve">Web</t>
  </si>
  <si>
    <t xml:space="preserve">P0</t>
  </si>
  <si>
    <t xml:space="preserve">v1.0</t>
  </si>
  <si>
    <t xml:space="preserve">Three of these silently corrupt account balances. Not optional.</t>
  </si>
  <si>
    <t xml:space="preserve">B</t>
  </si>
  <si>
    <t xml:space="preserve">P1 defects: BH-002, 007, 011, 012, 013, 017, 019, 023, 026, 027</t>
  </si>
  <si>
    <t xml:space="preserve">P1</t>
  </si>
  <si>
    <t xml:space="preserve">Includes the refresh-token-in-localStorage fix and job-endpoint rate limiting.</t>
  </si>
  <si>
    <t xml:space="preserve">C</t>
  </si>
  <si>
    <t xml:space="preserve">Security gaps: edge headers, masking guard, malware scan, retention job, PDFBox upgrade</t>
  </si>
  <si>
    <t xml:space="preserve">Malware scanning is absent entirely; uploads are the largest untrusted surface.</t>
  </si>
  <si>
    <t xml:space="preserve">D</t>
  </si>
  <si>
    <t xml:space="preserve">Test readiness: full E2E in CI, nightly job, cross-browser green, 7 named test gaps</t>
  </si>
  <si>
    <t xml:space="preserve">The full E2E suite has never run in CI (BH-048).</t>
  </si>
  <si>
    <t xml:space="preserve">E</t>
  </si>
  <si>
    <t xml:space="preserve">Production readiness: backup + restore drill, load test, runbooks, Dependabot batch</t>
  </si>
  <si>
    <t xml:space="preserve">Do the drills against real production while it is still empty — that window closes at first signup.</t>
  </si>
  <si>
    <t xml:space="preserve">M0</t>
  </si>
  <si>
    <t xml:space="preserve">Store enrolment: Apple Developer Program + Google Play Console</t>
  </si>
  <si>
    <t xml:space="preserve">Mobile</t>
  </si>
  <si>
    <t xml:space="preserve">~2 h of work against a 2–7 week wait. Longest-lead item in the project. Start today.</t>
  </si>
  <si>
    <t xml:space="preserve">M1</t>
  </si>
  <si>
    <t xml:space="preserve">EAS Build/Submit pipeline, signing credentials, first Android dev build</t>
  </si>
  <si>
    <t xml:space="preserve">Android needs no Play Console for a dev build, so this can start before enrolment clears.</t>
  </si>
  <si>
    <t xml:space="preserve">M2</t>
  </si>
  <si>
    <t xml:space="preserve">First physical-device bring-up: APNs (iOS) and Play Integrity (Android) for phone auth</t>
  </si>
  <si>
    <t xml:space="preserve">Highest-variance item in the plan. Phone verification gates every protected endpoint.</t>
  </si>
  <si>
    <t xml:space="preserve">M3</t>
  </si>
  <si>
    <t xml:space="preserve">Native-surface QA: share sheet, system date picker, expo-print PDF output</t>
  </si>
  <si>
    <t xml:space="preserve">P2</t>
  </si>
  <si>
    <t xml:space="preserve">All three have only ever run against mocks.</t>
  </si>
  <si>
    <t xml:space="preserve">M4</t>
  </si>
  <si>
    <t xml:space="preserve">Mobile duplicate-review parity — initialInclusion() still silently unticks</t>
  </si>
  <si>
    <t xml:space="preserve">The WI5 correctness rule, one platform over. A v1.0 defect now that mobile is in scope.</t>
  </si>
  <si>
    <t xml:space="preserve">M5</t>
  </si>
  <si>
    <t xml:space="preserve">Mobile E2E (Detox or Maestro) + a CI slot</t>
  </si>
  <si>
    <t xml:space="preserve">None exists; the CI job bundles JavaScript only.</t>
  </si>
  <si>
    <t xml:space="preserve">M6</t>
  </si>
  <si>
    <t xml:space="preserve">Store listings, screenshots, privacy policy + ToS, Play Data Safety, Apple App Privacy</t>
  </si>
  <si>
    <t xml:space="preserve">The policies are a hard submission gate, not paperwork. Neither exists today.</t>
  </si>
  <si>
    <t xml:space="preserve">S1</t>
  </si>
  <si>
    <t xml:space="preserve">Layout Curation UI (Milestone 2, item 7)</t>
  </si>
  <si>
    <t xml:space="preserve">Import</t>
  </si>
  <si>
    <t xml:space="preserve">P3</t>
  </si>
  <si>
    <t xml:space="preserve">v1.1</t>
  </si>
  <si>
    <t xml:space="preserve">A finishing feature. The registry table it needs already exists (V68).</t>
  </si>
  <si>
    <t xml:space="preserve">S2</t>
  </si>
  <si>
    <t xml:space="preserve">P2 backlog: the 24 Medium bug-hunt findings</t>
  </si>
  <si>
    <t xml:space="preserve">Performance, retention, 500s that should be 4xx, and the docs-vs-code lies.</t>
  </si>
  <si>
    <t xml:space="preserve">S3</t>
  </si>
  <si>
    <t xml:space="preserve">P3 backlog: the 18 Low bug-hunt findings</t>
  </si>
  <si>
    <t xml:space="preserve">Nothing here blocks a launch.</t>
  </si>
  <si>
    <t xml:space="preserve">S4</t>
  </si>
  <si>
    <t xml:space="preserve">Merchant Intelligence Workbench (WI4A)</t>
  </si>
  <si>
    <t xml:space="preserve">Deferred by the Milestone 2 charter to Milestone 3.</t>
  </si>
  <si>
    <t xml:space="preserve">S5</t>
  </si>
  <si>
    <t xml:space="preserve">Milestone 3 — document intelligence: OCR, RD/FD extraction, ground-truth matcher</t>
  </si>
  <si>
    <t xml:space="preserve">Design is complete and correctly gated. This is the work currently in flight.</t>
  </si>
  <si>
    <t xml:space="preserve">S6</t>
  </si>
  <si>
    <t xml:space="preserve">Excel export (web + admin portal)</t>
  </si>
  <si>
    <t xml:space="preserve">Needs SheetJS. CSV and print-to-PDF already work.</t>
  </si>
  <si>
    <t xml:space="preserve">S7</t>
  </si>
  <si>
    <t xml:space="preserve">Billing / Razorpay subscriptions</t>
  </si>
  <si>
    <t xml:space="preserve">Follows D-7. The Upgrade button is deliberately disabled rather than faked.</t>
  </si>
  <si>
    <t xml:space="preserve">Moving A, B, C, M0, M2, M4 or M6 out of v1.0 does not buy time — it moves a release gate instead. Everything else is genuinely yours to trade.</t>
  </si>
  <si>
    <t xml:space="preserve">Completion weighting</t>
  </si>
  <si>
    <t xml:space="preserve">The 65% figure depends on how these workstreams are valued. Overwrite column D with your own weights.</t>
  </si>
  <si>
    <t xml:space="preserve">#</t>
  </si>
  <si>
    <t xml:space="preserve">Workstream</t>
  </si>
  <si>
    <t xml:space="preserve">My weight</t>
  </si>
  <si>
    <t xml:space="preserve">YOUR weight</t>
  </si>
  <si>
    <t xml:space="preserve">% done</t>
  </si>
  <si>
    <t xml:space="preserve">Contribution</t>
  </si>
  <si>
    <t xml:space="preserve">What the remainder is</t>
  </si>
  <si>
    <t xml:space="preserve">1</t>
  </si>
  <si>
    <t xml:space="preserve">Core product (auth, ledger, accounts, budgets, goals, dashboard, reports, admin)</t>
  </si>
  <si>
    <t xml:space="preserve">Password-policy convergence, a few unmigrated TanStack pages</t>
  </si>
  <si>
    <t xml:space="preserve">2</t>
  </si>
  <si>
    <t xml:space="preserve">Import pipeline (M1 reliability + M2 at-scale)</t>
  </si>
  <si>
    <t xml:space="preserve">Layout curation UI, PDFBox upgrade, protected-PDF queueing</t>
  </si>
  <si>
    <t xml:space="preserve">3</t>
  </si>
  <si>
    <t xml:space="preserve">Financial correctness defects</t>
  </si>
  <si>
    <t xml:space="preserve">9 findings, none with a test, all silent to the user</t>
  </si>
  <si>
    <t xml:space="preserve">4</t>
  </si>
  <si>
    <t xml:space="preserve">Security &amp; privacy</t>
  </si>
  <si>
    <t xml:space="preserve">Refresh token in localStorage, no malware scan, no edge headers, no retention job</t>
  </si>
  <si>
    <t xml:space="preserve">5</t>
  </si>
  <si>
    <t xml:space="preserve">Testing &amp; QA readiness</t>
  </si>
  <si>
    <t xml:space="preserve">Full E2E never runs in CI, cross-browser never green, 7 named test gaps</t>
  </si>
  <si>
    <t xml:space="preserve">6</t>
  </si>
  <si>
    <t xml:space="preserve">Infrastructure &amp; production readiness</t>
  </si>
  <si>
    <t xml:space="preserve">Backup/restore never drilled, single-instance controls, runner is a SPOF</t>
  </si>
  <si>
    <t xml:space="preserve">7</t>
  </si>
  <si>
    <t xml:space="preserve">Mobile app</t>
  </si>
  <si>
    <t xml:space="preserve">Store enrolment, EAS pipeline, device bring-up, E2E — and zero device testing to date</t>
  </si>
  <si>
    <t xml:space="preserve">TOTAL</t>
  </si>
  <si>
    <t xml:space="preserve">Why weighting rather than counting tasks</t>
  </si>
  <si>
    <t xml:space="preserve">A workstream that is 90% done, whose remaining 10% is the part that corrupts an account balance, is not 90% done for launch purposes. Workstream 3 sits at 0% and carries 10% of the weight for exactly that reason — five defects, three of which silently move real money figures, and not one of them has a test.</t>
  </si>
  <si>
    <t xml:space="preserve">Release gates</t>
  </si>
  <si>
    <t xml:space="preserve">Mark a gate PASSED only when you would defend it to a user. Column D is yours.</t>
  </si>
  <si>
    <t xml:space="preserve">Gate</t>
  </si>
  <si>
    <t xml:space="preserve">What it means</t>
  </si>
  <si>
    <t xml:space="preserve">My assessment</t>
  </si>
  <si>
    <t xml:space="preserve">YOUR CALL</t>
  </si>
  <si>
    <t xml:space="preserve">What remains</t>
  </si>
  <si>
    <t xml:space="preserve">Development Complete</t>
  </si>
  <si>
    <t xml:space="preserve">Core functionality implemented</t>
  </si>
  <si>
    <t xml:space="preserve">PASSED</t>
  </si>
  <si>
    <t xml:space="preserve">Nothing — all three apps have their core surfaces wired to a real backend.</t>
  </si>
  <si>
    <t xml:space="preserve">Feature Complete (v1.0)</t>
  </si>
  <si>
    <t xml:space="preserve">All v1.0 features implemented</t>
  </si>
  <si>
    <t xml:space="preserve">AT RISK</t>
  </si>
  <si>
    <t xml:space="preserve">M2 items 7–8; password-policy convergence (D-6); async threshold decision (D-5); mobile M3–M5.</t>
  </si>
  <si>
    <t xml:space="preserve">QA Complete</t>
  </si>
  <si>
    <t xml:space="preserve">Critical/high bugs resolved, regression green</t>
  </si>
  <si>
    <t xml:space="preserve">NOT MET</t>
  </si>
  <si>
    <t xml:space="preserve">1 Critical + 12 High open. Full E2E not in CI. Cross-browser never green. 7 named test gaps.</t>
  </si>
  <si>
    <t xml:space="preserve">Production Ready</t>
  </si>
  <si>
    <t xml:space="preserve">Infra, monitoring, security, backups, performance verified</t>
  </si>
  <si>
    <t xml:space="preserve">No restore drill. No load test. No malware scan. No edge CSP/HSTS. No secret manager. Single-instance controls. Statement bytes retained indefinitely.</t>
  </si>
  <si>
    <t xml:space="preserve">Beta Ready</t>
  </si>
  <si>
    <t xml:space="preserve">Real users can safely use the system</t>
  </si>
  <si>
    <t xml:space="preserve">Blocked on QA Complete. A beta running on balance-corrupting imports is worse than no beta.</t>
  </si>
  <si>
    <t xml:space="preserve">v1.0 Ready</t>
  </si>
  <si>
    <t xml:space="preserve">All release criteria satisfied</t>
  </si>
  <si>
    <t xml:space="preserve">All of the above, plus both store submissions accepted.</t>
  </si>
  <si>
    <t xml:space="preserve">Go-Live</t>
  </si>
  <si>
    <t xml:space="preserve">Production launch approved</t>
  </si>
  <si>
    <t xml:space="preserve">Your approval against the criteria listed below.</t>
  </si>
  <si>
    <t xml:space="preserve">Release criteria — Finora is v1.0 when all eight hold</t>
  </si>
  <si>
    <t xml:space="preserve">Zero open Critical or High defects; every P0 fix carries a test that fails against the old code.</t>
  </si>
  <si>
    <t xml:space="preserve">Full E2E green in CI, cross-browser green, smoke blocking on every PR.</t>
  </si>
  <si>
    <t xml:space="preserve">A restore from backup has been performed and timed, on a real database, at least once.</t>
  </si>
  <si>
    <t xml:space="preserve">A load test at 10x expected launch volume with no error-rate regression.</t>
  </si>
  <si>
    <t xml:space="preserve">Uploads are scanned; PDFBox is current; the edge sets CSP and HSTS.</t>
  </si>
  <si>
    <t xml:space="preserve">Statement retention matches what the product says it does, enforced by a tested job.</t>
  </si>
  <si>
    <t xml:space="preserve">A runbook exists for: stuck import job, dead-letter queue, failed deploy, database restore.</t>
  </si>
  <si>
    <t xml:space="preserve">7+ days of beta with real statements and no P0/P1 raised.</t>
  </si>
</sst>
</file>

<file path=xl/styles.xml><?xml version="1.0" encoding="utf-8"?>
<styleSheet xmlns="http://schemas.openxmlformats.org/spreadsheetml/2006/main">
  <numFmts count="2">
    <numFmt numFmtId="164" formatCode="General"/>
    <numFmt numFmtId="165" formatCode="0.0%"/>
  </numFmts>
  <fonts count="22">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i val="true"/>
      <sz val="9"/>
      <color rgb="FF595959"/>
      <name val="Arial"/>
      <family val="0"/>
      <charset val="1"/>
    </font>
    <font>
      <b val="true"/>
      <sz val="10"/>
      <name val="Arial"/>
      <family val="0"/>
      <charset val="1"/>
    </font>
    <font>
      <sz val="10"/>
      <name val="Arial"/>
      <family val="0"/>
      <charset val="1"/>
    </font>
    <font>
      <b val="true"/>
      <sz val="11"/>
      <color rgb="FF1F3864"/>
      <name val="Arial"/>
      <family val="0"/>
      <charset val="1"/>
    </font>
    <font>
      <sz val="10"/>
      <color rgb="FF0000FF"/>
      <name val="Arial"/>
      <family val="0"/>
      <charset val="1"/>
    </font>
    <font>
      <sz val="9"/>
      <name val="Arial"/>
      <family val="0"/>
      <charset val="1"/>
    </font>
    <font>
      <b val="true"/>
      <sz val="11"/>
      <color rgb="FFC00000"/>
      <name val="Arial"/>
      <family val="0"/>
      <charset val="1"/>
    </font>
    <font>
      <b val="true"/>
      <sz val="10"/>
      <color rgb="FFC00000"/>
      <name val="Arial"/>
      <family val="0"/>
      <charset val="1"/>
    </font>
    <font>
      <b val="true"/>
      <sz val="14"/>
      <color rgb="FF1F3864"/>
      <name val="Arial"/>
      <family val="0"/>
      <charset val="1"/>
    </font>
    <font>
      <b val="true"/>
      <sz val="10"/>
      <color rgb="FFFFFFFF"/>
      <name val="Arial"/>
      <family val="0"/>
      <charset val="1"/>
    </font>
    <font>
      <b val="true"/>
      <sz val="9"/>
      <color rgb="FF375623"/>
      <name val="Arial"/>
      <family val="0"/>
      <charset val="1"/>
    </font>
    <font>
      <sz val="9"/>
      <color rgb="FF808080"/>
      <name val="Arial"/>
      <family val="0"/>
      <charset val="1"/>
    </font>
    <font>
      <b val="true"/>
      <sz val="10"/>
      <color rgb="FFBF8F00"/>
      <name val="Arial"/>
      <family val="0"/>
      <charset val="1"/>
    </font>
    <font>
      <b val="true"/>
      <sz val="10"/>
      <color rgb="FF595959"/>
      <name val="Arial"/>
      <family val="0"/>
      <charset val="1"/>
    </font>
    <font>
      <i val="true"/>
      <sz val="9"/>
      <color rgb="FFC00000"/>
      <name val="Arial"/>
      <family val="0"/>
      <charset val="1"/>
    </font>
    <font>
      <b val="true"/>
      <sz val="10"/>
      <color rgb="FF1F3864"/>
      <name val="Arial"/>
      <family val="0"/>
      <charset val="1"/>
    </font>
    <font>
      <b val="true"/>
      <sz val="10"/>
      <color rgb="FF375623"/>
      <name val="Arial"/>
      <family val="0"/>
      <charset val="1"/>
    </font>
  </fonts>
  <fills count="6">
    <fill>
      <patternFill patternType="none"/>
    </fill>
    <fill>
      <patternFill patternType="gray125"/>
    </fill>
    <fill>
      <patternFill patternType="solid">
        <fgColor rgb="FFFFFF00"/>
        <bgColor rgb="FFFFFF00"/>
      </patternFill>
    </fill>
    <fill>
      <patternFill patternType="solid">
        <fgColor rgb="FFE8EEF7"/>
        <bgColor rgb="FFE2EFDA"/>
      </patternFill>
    </fill>
    <fill>
      <patternFill patternType="solid">
        <fgColor rgb="FFE2EFDA"/>
        <bgColor rgb="FFE8EEF7"/>
      </patternFill>
    </fill>
    <fill>
      <patternFill patternType="solid">
        <fgColor rgb="FF1F3864"/>
        <bgColor rgb="FF3333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15" fillId="4" borderId="1" xfId="0" applyFont="true" applyBorder="true" applyAlignment="true" applyProtection="false">
      <alignment horizontal="general" vertical="top" textRotation="0" wrapText="true" indent="0" shrinkToFit="false"/>
      <protection locked="true" hidden="false"/>
    </xf>
    <xf numFmtId="164" fontId="0" fillId="4" borderId="1" xfId="0" applyFont="fals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5" fontId="16" fillId="0" borderId="1" xfId="0" applyFont="true" applyBorder="true" applyAlignment="true" applyProtection="false">
      <alignment horizontal="center" vertical="center" textRotation="0" wrapText="true" indent="0" shrinkToFit="false"/>
      <protection locked="true" hidden="false"/>
    </xf>
    <xf numFmtId="165" fontId="9" fillId="2"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5" fontId="7" fillId="3"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5" fontId="13" fillId="3" borderId="1" xfId="0" applyFont="true" applyBorder="true" applyAlignment="true" applyProtection="false">
      <alignment horizontal="center" vertical="center"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21"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E8EE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BF8F00"/>
      <rgbColor rgb="FFFF6600"/>
      <rgbColor rgb="FF595959"/>
      <rgbColor rgb="FF969696"/>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62"/>
    <col collapsed="false" customWidth="true" hidden="false" outlineLevel="0" max="5" min="4" style="0" width="24"/>
    <col collapsed="false" customWidth="true" hidden="false" outlineLevel="0" max="6" min="6" style="0" width="3"/>
  </cols>
  <sheetData>
    <row r="2" customFormat="false" ht="22.05" hidden="false" customHeight="false" outlineLevel="0" collapsed="false">
      <c r="B2" s="1" t="s">
        <v>0</v>
      </c>
    </row>
    <row r="3" customFormat="false" ht="15" hidden="false" customHeight="false" outlineLevel="0" collapsed="false">
      <c r="B3" s="2" t="s">
        <v>1</v>
      </c>
    </row>
    <row r="5" customFormat="false" ht="7.5" hidden="false" customHeight="true" outlineLevel="0" collapsed="false">
      <c r="B5" s="3"/>
      <c r="C5" s="4"/>
    </row>
    <row r="6" customFormat="false" ht="30" hidden="false" customHeight="true" outlineLevel="0" collapsed="false">
      <c r="B6" s="3" t="s">
        <v>2</v>
      </c>
      <c r="C6" s="4" t="s">
        <v>3</v>
      </c>
    </row>
    <row r="7" customFormat="false" ht="30" hidden="false" customHeight="true" outlineLevel="0" collapsed="false">
      <c r="B7" s="3" t="s">
        <v>4</v>
      </c>
      <c r="C7" s="4" t="s">
        <v>5</v>
      </c>
    </row>
    <row r="8" customFormat="false" ht="7.5" hidden="false" customHeight="true" outlineLevel="0" collapsed="false">
      <c r="B8" s="3"/>
      <c r="C8" s="4"/>
    </row>
    <row r="9" customFormat="false" ht="15" hidden="false" customHeight="false" outlineLevel="0" collapsed="false">
      <c r="B9" s="5" t="s">
        <v>6</v>
      </c>
    </row>
    <row r="10" customFormat="false" ht="25.5" hidden="false" customHeight="true" outlineLevel="0" collapsed="false">
      <c r="B10" s="6" t="s">
        <v>7</v>
      </c>
      <c r="C10" s="7" t="s">
        <v>8</v>
      </c>
    </row>
    <row r="11" customFormat="false" ht="25.5" hidden="false" customHeight="true" outlineLevel="0" collapsed="false">
      <c r="B11" s="8" t="s">
        <v>9</v>
      </c>
      <c r="C11" s="7" t="s">
        <v>10</v>
      </c>
    </row>
    <row r="12" customFormat="false" ht="25.5" hidden="false" customHeight="true" outlineLevel="0" collapsed="false">
      <c r="B12" s="9" t="s">
        <v>11</v>
      </c>
      <c r="C12" s="7" t="s">
        <v>12</v>
      </c>
    </row>
    <row r="13" customFormat="false" ht="25.5" hidden="false" customHeight="true" outlineLevel="0" collapsed="false">
      <c r="B13" s="10" t="s">
        <v>13</v>
      </c>
      <c r="C13" s="7" t="s">
        <v>14</v>
      </c>
    </row>
    <row r="15" customFormat="false" ht="15" hidden="false" customHeight="false" outlineLevel="0" collapsed="false">
      <c r="B15" s="5" t="s">
        <v>15</v>
      </c>
    </row>
    <row r="16" customFormat="false" ht="30" hidden="false" customHeight="true" outlineLevel="0" collapsed="false">
      <c r="B16" s="3" t="s">
        <v>16</v>
      </c>
      <c r="C16" s="4" t="s">
        <v>17</v>
      </c>
    </row>
    <row r="17" customFormat="false" ht="30" hidden="false" customHeight="true" outlineLevel="0" collapsed="false">
      <c r="B17" s="3" t="s">
        <v>18</v>
      </c>
      <c r="C17" s="4" t="s">
        <v>19</v>
      </c>
    </row>
    <row r="18" customFormat="false" ht="30" hidden="false" customHeight="true" outlineLevel="0" collapsed="false">
      <c r="B18" s="3" t="s">
        <v>20</v>
      </c>
      <c r="C18" s="4" t="s">
        <v>21</v>
      </c>
    </row>
    <row r="19" customFormat="false" ht="30" hidden="false" customHeight="true" outlineLevel="0" collapsed="false">
      <c r="B19" s="3" t="s">
        <v>22</v>
      </c>
      <c r="C19" s="4" t="s">
        <v>23</v>
      </c>
    </row>
    <row r="21" customFormat="false" ht="15" hidden="false" customHeight="false" outlineLevel="0" collapsed="false">
      <c r="B21" s="5" t="s">
        <v>24</v>
      </c>
    </row>
    <row r="22" customFormat="false" ht="25.5" hidden="false" customHeight="true" outlineLevel="0" collapsed="false">
      <c r="C22" s="11" t="s">
        <v>25</v>
      </c>
    </row>
    <row r="23" customFormat="false" ht="27.75" hidden="false" customHeight="true" outlineLevel="0" collapsed="false">
      <c r="B23" s="12" t="s">
        <v>26</v>
      </c>
      <c r="C23" s="7" t="s">
        <v>27</v>
      </c>
    </row>
    <row r="24" customFormat="false" ht="27.75" hidden="false" customHeight="true" outlineLevel="0" collapsed="false">
      <c r="B24" s="12" t="s">
        <v>28</v>
      </c>
      <c r="C24" s="13" t="s">
        <v>29</v>
      </c>
    </row>
    <row r="25" customFormat="false" ht="27.75" hidden="false" customHeight="true" outlineLevel="0" collapsed="false">
      <c r="B25" s="12" t="s">
        <v>30</v>
      </c>
      <c r="C25" s="13" t="s">
        <v>31</v>
      </c>
    </row>
    <row r="28" customFormat="false" ht="15" hidden="false" customHeight="false" outlineLevel="0" collapsed="false">
      <c r="B28" s="14" t="s">
        <v>32</v>
      </c>
    </row>
    <row r="29" customFormat="false" ht="61.5" hidden="false" customHeight="true" outlineLevel="0" collapsed="false">
      <c r="C29" s="15"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46"/>
    <col collapsed="false" customWidth="true" hidden="false" outlineLevel="0" max="4" min="4" style="0" width="40"/>
    <col collapsed="false" customWidth="true" hidden="false" outlineLevel="0" max="5" min="5" style="0" width="20"/>
    <col collapsed="false" customWidth="true" hidden="false" outlineLevel="0" max="6" min="6" style="0" width="34"/>
    <col collapsed="false" customWidth="true" hidden="false" outlineLevel="0" max="7" min="7" style="0" width="26"/>
  </cols>
  <sheetData>
    <row r="1" customFormat="false" ht="19.5" hidden="false" customHeight="true" outlineLevel="0" collapsed="false">
      <c r="A1" s="16" t="s">
        <v>34</v>
      </c>
    </row>
    <row r="2" customFormat="false" ht="15" hidden="false" customHeight="false" outlineLevel="0" collapsed="false">
      <c r="A2" s="2" t="s">
        <v>35</v>
      </c>
    </row>
    <row r="4" customFormat="false" ht="30" hidden="false" customHeight="true" outlineLevel="0" collapsed="false">
      <c r="A4" s="17" t="s">
        <v>36</v>
      </c>
      <c r="B4" s="17" t="s">
        <v>26</v>
      </c>
      <c r="C4" s="17" t="s">
        <v>37</v>
      </c>
      <c r="D4" s="17" t="s">
        <v>38</v>
      </c>
      <c r="E4" s="17" t="s">
        <v>39</v>
      </c>
      <c r="F4" s="17" t="s">
        <v>40</v>
      </c>
      <c r="G4" s="17" t="s">
        <v>41</v>
      </c>
    </row>
    <row r="5" customFormat="false" ht="33.75" hidden="false" customHeight="true" outlineLevel="0" collapsed="false">
      <c r="A5" s="10" t="s">
        <v>42</v>
      </c>
      <c r="B5" s="18" t="s">
        <v>43</v>
      </c>
      <c r="C5" s="18" t="s">
        <v>44</v>
      </c>
      <c r="D5" s="18" t="s">
        <v>45</v>
      </c>
      <c r="E5" s="19" t="s">
        <v>46</v>
      </c>
      <c r="F5" s="20"/>
      <c r="G5" s="21" t="s">
        <v>47</v>
      </c>
    </row>
    <row r="6" customFormat="false" ht="33.75" hidden="false" customHeight="true" outlineLevel="0" collapsed="false">
      <c r="A6" s="10" t="s">
        <v>48</v>
      </c>
      <c r="B6" s="18" t="s">
        <v>49</v>
      </c>
      <c r="C6" s="18" t="s">
        <v>50</v>
      </c>
      <c r="D6" s="18" t="s">
        <v>51</v>
      </c>
      <c r="E6" s="19" t="s">
        <v>52</v>
      </c>
      <c r="F6" s="20"/>
      <c r="G6" s="21" t="s">
        <v>53</v>
      </c>
    </row>
    <row r="7" customFormat="false" ht="33.75" hidden="false" customHeight="true" outlineLevel="0" collapsed="false">
      <c r="A7" s="10" t="s">
        <v>54</v>
      </c>
      <c r="B7" s="18" t="s">
        <v>55</v>
      </c>
      <c r="C7" s="18" t="s">
        <v>56</v>
      </c>
      <c r="D7" s="18" t="s">
        <v>57</v>
      </c>
      <c r="E7" s="19" t="s">
        <v>58</v>
      </c>
      <c r="F7" s="20"/>
      <c r="G7" s="21" t="s">
        <v>59</v>
      </c>
    </row>
    <row r="8" customFormat="false" ht="33.75" hidden="false" customHeight="true" outlineLevel="0" collapsed="false">
      <c r="A8" s="10" t="s">
        <v>60</v>
      </c>
      <c r="B8" s="18" t="s">
        <v>61</v>
      </c>
      <c r="C8" s="18" t="s">
        <v>62</v>
      </c>
      <c r="D8" s="18" t="s">
        <v>63</v>
      </c>
      <c r="E8" s="19" t="s">
        <v>64</v>
      </c>
      <c r="F8" s="20"/>
      <c r="G8" s="21" t="s">
        <v>65</v>
      </c>
    </row>
    <row r="9" customFormat="false" ht="91.5" hidden="false" customHeight="true" outlineLevel="0" collapsed="false">
      <c r="A9" s="22" t="s">
        <v>66</v>
      </c>
      <c r="B9" s="7" t="s">
        <v>67</v>
      </c>
      <c r="C9" s="7" t="s">
        <v>68</v>
      </c>
      <c r="D9" s="7" t="s">
        <v>69</v>
      </c>
      <c r="E9" s="23"/>
      <c r="F9" s="13"/>
      <c r="G9" s="24" t="s">
        <v>70</v>
      </c>
    </row>
    <row r="10" customFormat="false" ht="91.5" hidden="false" customHeight="true" outlineLevel="0" collapsed="false">
      <c r="A10" s="22" t="s">
        <v>71</v>
      </c>
      <c r="B10" s="7" t="s">
        <v>72</v>
      </c>
      <c r="C10" s="7" t="s">
        <v>73</v>
      </c>
      <c r="D10" s="7" t="s">
        <v>74</v>
      </c>
      <c r="E10" s="23"/>
      <c r="F10" s="13"/>
      <c r="G10" s="24" t="s">
        <v>75</v>
      </c>
    </row>
    <row r="11" customFormat="false" ht="91.5" hidden="false" customHeight="true" outlineLevel="0" collapsed="false">
      <c r="A11" s="22" t="s">
        <v>76</v>
      </c>
      <c r="B11" s="7" t="s">
        <v>77</v>
      </c>
      <c r="C11" s="7" t="s">
        <v>78</v>
      </c>
      <c r="D11" s="7" t="s">
        <v>79</v>
      </c>
      <c r="E11" s="23"/>
      <c r="F11" s="13"/>
      <c r="G11" s="24" t="s">
        <v>80</v>
      </c>
    </row>
    <row r="12" customFormat="false" ht="91.5" hidden="false" customHeight="true" outlineLevel="0" collapsed="false">
      <c r="A12" s="22" t="s">
        <v>81</v>
      </c>
      <c r="B12" s="7" t="s">
        <v>82</v>
      </c>
      <c r="C12" s="7" t="s">
        <v>83</v>
      </c>
      <c r="D12" s="7" t="s">
        <v>84</v>
      </c>
      <c r="E12" s="23"/>
      <c r="F12" s="13"/>
      <c r="G12" s="24" t="s">
        <v>85</v>
      </c>
    </row>
    <row r="13" customFormat="false" ht="91.5" hidden="false" customHeight="true" outlineLevel="0" collapsed="false">
      <c r="A13" s="22" t="s">
        <v>86</v>
      </c>
      <c r="B13" s="7" t="s">
        <v>87</v>
      </c>
      <c r="C13" s="7" t="s">
        <v>88</v>
      </c>
      <c r="D13" s="7" t="s">
        <v>89</v>
      </c>
      <c r="E13" s="23"/>
      <c r="F13" s="13"/>
      <c r="G13" s="24" t="s">
        <v>90</v>
      </c>
    </row>
    <row r="14" customFormat="false" ht="91.5" hidden="false" customHeight="true" outlineLevel="0" collapsed="false">
      <c r="A14" s="22" t="s">
        <v>91</v>
      </c>
      <c r="B14" s="7" t="s">
        <v>92</v>
      </c>
      <c r="C14" s="7" t="s">
        <v>93</v>
      </c>
      <c r="D14" s="7" t="s">
        <v>94</v>
      </c>
      <c r="E14" s="23"/>
      <c r="F14" s="13"/>
      <c r="G14" s="24" t="s">
        <v>95</v>
      </c>
    </row>
    <row r="15" customFormat="false" ht="91.5" hidden="false" customHeight="true" outlineLevel="0" collapsed="false">
      <c r="A15" s="22" t="s">
        <v>96</v>
      </c>
      <c r="B15" s="7" t="s">
        <v>97</v>
      </c>
      <c r="C15" s="7" t="s">
        <v>98</v>
      </c>
      <c r="D15" s="7" t="s">
        <v>99</v>
      </c>
      <c r="E15" s="23"/>
      <c r="F15" s="13"/>
      <c r="G15" s="24" t="s">
        <v>100</v>
      </c>
    </row>
    <row r="16" customFormat="false" ht="91.5" hidden="false" customHeight="true" outlineLevel="0" collapsed="false">
      <c r="A16" s="22" t="s">
        <v>101</v>
      </c>
      <c r="B16" s="7" t="s">
        <v>102</v>
      </c>
      <c r="C16" s="7" t="s">
        <v>103</v>
      </c>
      <c r="D16" s="7" t="s">
        <v>104</v>
      </c>
      <c r="E16" s="23"/>
      <c r="F16" s="13"/>
      <c r="G16" s="24" t="s">
        <v>105</v>
      </c>
    </row>
    <row r="18" customFormat="false" ht="15" hidden="false" customHeight="false" outlineLevel="0" collapsed="false">
      <c r="B18" s="3" t="s">
        <v>106</v>
      </c>
      <c r="C18" s="9" t="str">
        <f aca="false">COUNTA(E9:E16)&amp;" of 8 open decisions answered"</f>
        <v>0 of 8 open decisions answered</v>
      </c>
    </row>
  </sheetData>
  <dataValidations count="8">
    <dataValidation allowBlank="true" error="Pick one of the listed options, or clear the cell and type your own in the note column." errorStyle="stop" operator="between" prompt="Click the arrow to choose." showDropDown="false" showErrorMessage="false" showInputMessage="false" sqref="E9" type="list">
      <formula1>"I have 12+ lined up,I can find them - not yet asked,I do not have 12 people,Not sure"</formula1>
      <formula2>0</formula2>
    </dataValidation>
    <dataValidation allowBlank="true" error="Pick one of the listed options, or clear the cell and type your own in the note column." errorStyle="stop" operator="between" prompt="Click the arrow to choose." showDropDown="false" showErrorMessage="false" showInputMessage="false" sqref="E10" type="list">
      <formula1>"Launch together,iOS first then Android,Android first then iOS,Decide once Apple clears"</formula1>
      <formula2>0</formula2>
    </dataValidation>
    <dataValidation allowBlank="true" error="Pick one of the listed options, or clear the cell and type your own in the note column." errorStyle="stop" operator="between" prompt="Click the arrow to choose." showDropDown="false" showErrorMessage="false" showInputMessage="false" sqref="E11" type="list">
      <formula1>"Personal name + personal contact,Personal name + dedicated support address,Incorporate first after all,Need professional advice"</formula1>
      <formula2>0</formula2>
    </dataValidation>
    <dataValidation allowBlank="true" error="Pick one of the listed options, or clear the cell and type your own in the note column." errorStyle="stop" operator="between" prompt="Click the arrow to choose." showDropDown="false" showErrorMessage="false" showInputMessage="false" sqref="E12" type="list">
      <formula1>"48 hours,7 days,30 days,90 days,Keep indefinitely (state it in the policy)"</formula1>
      <formula2>0</formula2>
    </dataValidation>
    <dataValidation allowBlank="true" error="Pick one of the listed options, or clear the cell and type your own in the note column." errorStyle="stop" operator="between" prompt="Click the arrow to choose." showDropDown="false" showErrorMessage="false" showInputMessage="false" sqref="E13" type="list">
      <formula1>"One instance,Multiple + add Redis first,Decide after the load test"</formula1>
      <formula2>0</formula2>
    </dataValidation>
    <dataValidation allowBlank="true" error="Pick one of the listed options, or clear the cell and type your own in the note column." errorStyle="stop" operator="between" prompt="Click the arrow to choose." showDropDown="false" showErrorMessage="false" showInputMessage="false" sqref="E14" type="list">
      <formula1>"Fix the poll interval,Add a row-count threshold,Both,Leave as-is for v1.0"</formula1>
      <formula2>0</formula2>
    </dataValidation>
    <dataValidation allowBlank="true" error="Pick one of the listed options, or clear the cell and type your own in the note column." errorStyle="stop" operator="between" prompt="Click the arrow to choose." showDropDown="false" showErrorMessage="false" showInputMessage="false" sqref="E15" type="list">
      <formula1>"Enforce full complexity on both,Keep 8-72 chars and relabel the UI as guidance,Length only but raise the minimum"</formula1>
      <formula2>0</formula2>
    </dataValidation>
    <dataValidation allowBlank="true" error="Pick one of the listed options, or clear the cell and type your own in the note column." errorStyle="stop" operator="between" prompt="Click the arrow to choose." showDropDown="false" showErrorMessage="false" showInputMessage="false" sqref="E16" type="list">
      <formula1>"Free at v1.0 - decide pricing later,Free tier + paid tier at v1.0,Paid only,Undecided"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42"/>
    <col collapsed="false" customWidth="true" hidden="false" outlineLevel="0" max="3" min="3" style="0" width="10"/>
    <col collapsed="false" customWidth="true" hidden="false" outlineLevel="0" max="4" min="4" style="0" width="9"/>
    <col collapsed="false" customWidth="true" hidden="false" outlineLevel="0" max="6" min="5" style="0" width="11"/>
    <col collapsed="false" customWidth="true" hidden="false" outlineLevel="0" max="7" min="7" style="0" width="14"/>
    <col collapsed="false" customWidth="true" hidden="false" outlineLevel="0" max="8" min="8" style="0" width="40"/>
  </cols>
  <sheetData>
    <row r="1" customFormat="false" ht="19.5" hidden="false" customHeight="true" outlineLevel="0" collapsed="false">
      <c r="A1" s="16" t="s">
        <v>107</v>
      </c>
    </row>
    <row r="2" customFormat="false" ht="15" hidden="false" customHeight="false" outlineLevel="0" collapsed="false">
      <c r="A2" s="2" t="s">
        <v>108</v>
      </c>
    </row>
    <row r="4" customFormat="false" ht="15" hidden="false" customHeight="false" outlineLevel="0" collapsed="false">
      <c r="A4" s="3" t="s">
        <v>109</v>
      </c>
      <c r="D4" s="25" t="str">
        <f aca="false">SUMIF($G$8:$G$40,"v1.0",$E$8:$E$40)&amp;" – "&amp;SUMIF($G$8:$G$40,"v1.0",$F$8:$F$40)&amp;" working days"</f>
        <v>33 – 47 working days</v>
      </c>
    </row>
    <row r="5" customFormat="false" ht="15" hidden="false" customHeight="false" outlineLevel="0" collapsed="false">
      <c r="A5" s="3" t="s">
        <v>110</v>
      </c>
      <c r="D5" s="26" t="str">
        <f aca="false">SUMIF($G$8:$G$40,"v1.1",$E$8:$E$40)&amp;" – "&amp;SUMIF($G$8:$G$40,"v1.1",$F$8:$F$40)&amp;" working days moved out"</f>
        <v>39 – 61 working days moved out</v>
      </c>
    </row>
    <row r="6" customFormat="false" ht="15" hidden="false" customHeight="false" outlineLevel="0" collapsed="false">
      <c r="A6" s="27" t="s">
        <v>111</v>
      </c>
    </row>
    <row r="7" customFormat="false" ht="30" hidden="false" customHeight="true" outlineLevel="0" collapsed="false">
      <c r="A7" s="17" t="s">
        <v>36</v>
      </c>
      <c r="B7" s="17" t="s">
        <v>112</v>
      </c>
      <c r="C7" s="17" t="s">
        <v>113</v>
      </c>
      <c r="D7" s="17" t="s">
        <v>114</v>
      </c>
      <c r="E7" s="17" t="s">
        <v>115</v>
      </c>
      <c r="F7" s="17" t="s">
        <v>116</v>
      </c>
      <c r="G7" s="17" t="s">
        <v>117</v>
      </c>
      <c r="H7" s="17" t="s">
        <v>118</v>
      </c>
    </row>
    <row r="8" customFormat="false" ht="30" hidden="false" customHeight="true" outlineLevel="0" collapsed="false">
      <c r="A8" s="22" t="s">
        <v>119</v>
      </c>
      <c r="B8" s="7" t="s">
        <v>120</v>
      </c>
      <c r="C8" s="28" t="s">
        <v>121</v>
      </c>
      <c r="D8" s="29" t="s">
        <v>122</v>
      </c>
      <c r="E8" s="28" t="n">
        <v>4</v>
      </c>
      <c r="F8" s="28" t="n">
        <v>5</v>
      </c>
      <c r="G8" s="30" t="s">
        <v>123</v>
      </c>
      <c r="H8" s="24" t="s">
        <v>124</v>
      </c>
    </row>
    <row r="9" customFormat="false" ht="30" hidden="false" customHeight="true" outlineLevel="0" collapsed="false">
      <c r="A9" s="22" t="s">
        <v>125</v>
      </c>
      <c r="B9" s="7" t="s">
        <v>126</v>
      </c>
      <c r="C9" s="28" t="s">
        <v>121</v>
      </c>
      <c r="D9" s="31" t="s">
        <v>127</v>
      </c>
      <c r="E9" s="28" t="n">
        <v>5</v>
      </c>
      <c r="F9" s="28" t="n">
        <v>7</v>
      </c>
      <c r="G9" s="30" t="s">
        <v>123</v>
      </c>
      <c r="H9" s="24" t="s">
        <v>128</v>
      </c>
    </row>
    <row r="10" customFormat="false" ht="30" hidden="false" customHeight="true" outlineLevel="0" collapsed="false">
      <c r="A10" s="22" t="s">
        <v>129</v>
      </c>
      <c r="B10" s="7" t="s">
        <v>130</v>
      </c>
      <c r="C10" s="28" t="s">
        <v>121</v>
      </c>
      <c r="D10" s="31" t="s">
        <v>127</v>
      </c>
      <c r="E10" s="28" t="n">
        <v>4</v>
      </c>
      <c r="F10" s="28" t="n">
        <v>5</v>
      </c>
      <c r="G10" s="30" t="s">
        <v>123</v>
      </c>
      <c r="H10" s="24" t="s">
        <v>131</v>
      </c>
    </row>
    <row r="11" customFormat="false" ht="30" hidden="false" customHeight="true" outlineLevel="0" collapsed="false">
      <c r="A11" s="22" t="s">
        <v>132</v>
      </c>
      <c r="B11" s="7" t="s">
        <v>133</v>
      </c>
      <c r="C11" s="28" t="s">
        <v>121</v>
      </c>
      <c r="D11" s="31" t="s">
        <v>127</v>
      </c>
      <c r="E11" s="28" t="n">
        <v>3</v>
      </c>
      <c r="F11" s="28" t="n">
        <v>4</v>
      </c>
      <c r="G11" s="30" t="s">
        <v>123</v>
      </c>
      <c r="H11" s="24" t="s">
        <v>134</v>
      </c>
    </row>
    <row r="12" customFormat="false" ht="30" hidden="false" customHeight="true" outlineLevel="0" collapsed="false">
      <c r="A12" s="22" t="s">
        <v>135</v>
      </c>
      <c r="B12" s="7" t="s">
        <v>136</v>
      </c>
      <c r="C12" s="28" t="s">
        <v>121</v>
      </c>
      <c r="D12" s="31" t="s">
        <v>127</v>
      </c>
      <c r="E12" s="28" t="n">
        <v>4</v>
      </c>
      <c r="F12" s="28" t="n">
        <v>6</v>
      </c>
      <c r="G12" s="30" t="s">
        <v>123</v>
      </c>
      <c r="H12" s="24" t="s">
        <v>137</v>
      </c>
    </row>
    <row r="13" customFormat="false" ht="30" hidden="false" customHeight="true" outlineLevel="0" collapsed="false">
      <c r="A13" s="22" t="s">
        <v>138</v>
      </c>
      <c r="B13" s="7" t="s">
        <v>139</v>
      </c>
      <c r="C13" s="28" t="s">
        <v>140</v>
      </c>
      <c r="D13" s="29" t="s">
        <v>122</v>
      </c>
      <c r="E13" s="28" t="n">
        <v>0</v>
      </c>
      <c r="F13" s="28" t="n">
        <v>1</v>
      </c>
      <c r="G13" s="30" t="s">
        <v>123</v>
      </c>
      <c r="H13" s="24" t="s">
        <v>141</v>
      </c>
    </row>
    <row r="14" customFormat="false" ht="30" hidden="false" customHeight="true" outlineLevel="0" collapsed="false">
      <c r="A14" s="22" t="s">
        <v>142</v>
      </c>
      <c r="B14" s="7" t="s">
        <v>143</v>
      </c>
      <c r="C14" s="28" t="s">
        <v>140</v>
      </c>
      <c r="D14" s="31" t="s">
        <v>127</v>
      </c>
      <c r="E14" s="28" t="n">
        <v>2</v>
      </c>
      <c r="F14" s="28" t="n">
        <v>3</v>
      </c>
      <c r="G14" s="30" t="s">
        <v>123</v>
      </c>
      <c r="H14" s="24" t="s">
        <v>144</v>
      </c>
    </row>
    <row r="15" customFormat="false" ht="30" hidden="false" customHeight="true" outlineLevel="0" collapsed="false">
      <c r="A15" s="22" t="s">
        <v>145</v>
      </c>
      <c r="B15" s="7" t="s">
        <v>146</v>
      </c>
      <c r="C15" s="28" t="s">
        <v>140</v>
      </c>
      <c r="D15" s="29" t="s">
        <v>122</v>
      </c>
      <c r="E15" s="28" t="n">
        <v>3</v>
      </c>
      <c r="F15" s="28" t="n">
        <v>5</v>
      </c>
      <c r="G15" s="30" t="s">
        <v>123</v>
      </c>
      <c r="H15" s="24" t="s">
        <v>147</v>
      </c>
    </row>
    <row r="16" customFormat="false" ht="30" hidden="false" customHeight="true" outlineLevel="0" collapsed="false">
      <c r="A16" s="22" t="s">
        <v>148</v>
      </c>
      <c r="B16" s="7" t="s">
        <v>149</v>
      </c>
      <c r="C16" s="28" t="s">
        <v>140</v>
      </c>
      <c r="D16" s="32" t="s">
        <v>150</v>
      </c>
      <c r="E16" s="28" t="n">
        <v>1</v>
      </c>
      <c r="F16" s="28" t="n">
        <v>2</v>
      </c>
      <c r="G16" s="30" t="s">
        <v>123</v>
      </c>
      <c r="H16" s="24" t="s">
        <v>151</v>
      </c>
    </row>
    <row r="17" customFormat="false" ht="30" hidden="false" customHeight="true" outlineLevel="0" collapsed="false">
      <c r="A17" s="22" t="s">
        <v>152</v>
      </c>
      <c r="B17" s="7" t="s">
        <v>153</v>
      </c>
      <c r="C17" s="28" t="s">
        <v>140</v>
      </c>
      <c r="D17" s="31" t="s">
        <v>127</v>
      </c>
      <c r="E17" s="28" t="n">
        <v>2</v>
      </c>
      <c r="F17" s="28" t="n">
        <v>2</v>
      </c>
      <c r="G17" s="30" t="s">
        <v>123</v>
      </c>
      <c r="H17" s="24" t="s">
        <v>154</v>
      </c>
    </row>
    <row r="18" customFormat="false" ht="30" hidden="false" customHeight="true" outlineLevel="0" collapsed="false">
      <c r="A18" s="22" t="s">
        <v>155</v>
      </c>
      <c r="B18" s="7" t="s">
        <v>156</v>
      </c>
      <c r="C18" s="28" t="s">
        <v>140</v>
      </c>
      <c r="D18" s="32" t="s">
        <v>150</v>
      </c>
      <c r="E18" s="28" t="n">
        <v>3</v>
      </c>
      <c r="F18" s="28" t="n">
        <v>4</v>
      </c>
      <c r="G18" s="30" t="s">
        <v>123</v>
      </c>
      <c r="H18" s="24" t="s">
        <v>157</v>
      </c>
    </row>
    <row r="19" customFormat="false" ht="30" hidden="false" customHeight="true" outlineLevel="0" collapsed="false">
      <c r="A19" s="22" t="s">
        <v>158</v>
      </c>
      <c r="B19" s="7" t="s">
        <v>159</v>
      </c>
      <c r="C19" s="28" t="s">
        <v>140</v>
      </c>
      <c r="D19" s="29" t="s">
        <v>122</v>
      </c>
      <c r="E19" s="28" t="n">
        <v>2</v>
      </c>
      <c r="F19" s="28" t="n">
        <v>3</v>
      </c>
      <c r="G19" s="30" t="s">
        <v>123</v>
      </c>
      <c r="H19" s="24" t="s">
        <v>160</v>
      </c>
    </row>
    <row r="20" customFormat="false" ht="30" hidden="false" customHeight="true" outlineLevel="0" collapsed="false">
      <c r="A20" s="22" t="s">
        <v>161</v>
      </c>
      <c r="B20" s="7" t="s">
        <v>162</v>
      </c>
      <c r="C20" s="28" t="s">
        <v>163</v>
      </c>
      <c r="D20" s="32" t="s">
        <v>164</v>
      </c>
      <c r="E20" s="28" t="n">
        <v>3</v>
      </c>
      <c r="F20" s="28" t="n">
        <v>4</v>
      </c>
      <c r="G20" s="30" t="s">
        <v>165</v>
      </c>
      <c r="H20" s="24" t="s">
        <v>166</v>
      </c>
    </row>
    <row r="21" customFormat="false" ht="30" hidden="false" customHeight="true" outlineLevel="0" collapsed="false">
      <c r="A21" s="22" t="s">
        <v>167</v>
      </c>
      <c r="B21" s="7" t="s">
        <v>168</v>
      </c>
      <c r="C21" s="28" t="s">
        <v>121</v>
      </c>
      <c r="D21" s="32" t="s">
        <v>150</v>
      </c>
      <c r="E21" s="28" t="n">
        <v>6</v>
      </c>
      <c r="F21" s="28" t="n">
        <v>9</v>
      </c>
      <c r="G21" s="30" t="s">
        <v>165</v>
      </c>
      <c r="H21" s="24" t="s">
        <v>169</v>
      </c>
    </row>
    <row r="22" customFormat="false" ht="30" hidden="false" customHeight="true" outlineLevel="0" collapsed="false">
      <c r="A22" s="22" t="s">
        <v>170</v>
      </c>
      <c r="B22" s="7" t="s">
        <v>171</v>
      </c>
      <c r="C22" s="28" t="s">
        <v>121</v>
      </c>
      <c r="D22" s="32" t="s">
        <v>164</v>
      </c>
      <c r="E22" s="28" t="n">
        <v>4</v>
      </c>
      <c r="F22" s="28" t="n">
        <v>6</v>
      </c>
      <c r="G22" s="30" t="s">
        <v>165</v>
      </c>
      <c r="H22" s="24" t="s">
        <v>172</v>
      </c>
    </row>
    <row r="23" customFormat="false" ht="30" hidden="false" customHeight="true" outlineLevel="0" collapsed="false">
      <c r="A23" s="22" t="s">
        <v>173</v>
      </c>
      <c r="B23" s="7" t="s">
        <v>174</v>
      </c>
      <c r="C23" s="28" t="s">
        <v>163</v>
      </c>
      <c r="D23" s="32" t="s">
        <v>164</v>
      </c>
      <c r="E23" s="28" t="n">
        <v>5</v>
      </c>
      <c r="F23" s="28" t="n">
        <v>7</v>
      </c>
      <c r="G23" s="30" t="s">
        <v>165</v>
      </c>
      <c r="H23" s="24" t="s">
        <v>175</v>
      </c>
    </row>
    <row r="24" customFormat="false" ht="30" hidden="false" customHeight="true" outlineLevel="0" collapsed="false">
      <c r="A24" s="22" t="s">
        <v>176</v>
      </c>
      <c r="B24" s="7" t="s">
        <v>177</v>
      </c>
      <c r="C24" s="28" t="s">
        <v>163</v>
      </c>
      <c r="D24" s="32" t="s">
        <v>164</v>
      </c>
      <c r="E24" s="28" t="n">
        <v>15</v>
      </c>
      <c r="F24" s="28" t="n">
        <v>25</v>
      </c>
      <c r="G24" s="30" t="s">
        <v>165</v>
      </c>
      <c r="H24" s="24" t="s">
        <v>178</v>
      </c>
    </row>
    <row r="25" customFormat="false" ht="30" hidden="false" customHeight="true" outlineLevel="0" collapsed="false">
      <c r="A25" s="22" t="s">
        <v>179</v>
      </c>
      <c r="B25" s="7" t="s">
        <v>180</v>
      </c>
      <c r="C25" s="28" t="s">
        <v>121</v>
      </c>
      <c r="D25" s="32" t="s">
        <v>164</v>
      </c>
      <c r="E25" s="28" t="n">
        <v>1</v>
      </c>
      <c r="F25" s="28" t="n">
        <v>2</v>
      </c>
      <c r="G25" s="30" t="s">
        <v>165</v>
      </c>
      <c r="H25" s="24" t="s">
        <v>181</v>
      </c>
    </row>
    <row r="26" customFormat="false" ht="30" hidden="false" customHeight="true" outlineLevel="0" collapsed="false">
      <c r="A26" s="22" t="s">
        <v>182</v>
      </c>
      <c r="B26" s="7" t="s">
        <v>183</v>
      </c>
      <c r="C26" s="28" t="s">
        <v>121</v>
      </c>
      <c r="D26" s="32" t="s">
        <v>164</v>
      </c>
      <c r="E26" s="28" t="n">
        <v>5</v>
      </c>
      <c r="F26" s="28" t="n">
        <v>8</v>
      </c>
      <c r="G26" s="30" t="s">
        <v>165</v>
      </c>
      <c r="H26" s="24" t="s">
        <v>184</v>
      </c>
    </row>
    <row r="28" customFormat="false" ht="27.75" hidden="false" customHeight="true" outlineLevel="0" collapsed="false">
      <c r="B28" s="33" t="s">
        <v>185</v>
      </c>
    </row>
  </sheetData>
  <dataValidations count="1">
    <dataValidation allowBlank="false" error="Choose v1.0, v1.1 or Cut." errorStyle="stop" operator="between" showDropDown="false" showErrorMessage="false" showInputMessage="false" sqref="G8:G26" type="list">
      <formula1>"v1.0,v1.1,Cut"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12"/>
    <col collapsed="false" customWidth="true" hidden="false" outlineLevel="0" max="4" min="4" style="0" width="13"/>
    <col collapsed="false" customWidth="true" hidden="false" outlineLevel="0" max="5" min="5" style="0" width="11"/>
    <col collapsed="false" customWidth="true" hidden="false" outlineLevel="0" max="6" min="6" style="0" width="13"/>
    <col collapsed="false" customWidth="true" hidden="false" outlineLevel="0" max="7" min="7" style="0" width="46"/>
  </cols>
  <sheetData>
    <row r="1" customFormat="false" ht="19.5" hidden="false" customHeight="true" outlineLevel="0" collapsed="false">
      <c r="A1" s="16" t="s">
        <v>186</v>
      </c>
    </row>
    <row r="2" customFormat="false" ht="15" hidden="false" customHeight="false" outlineLevel="0" collapsed="false">
      <c r="A2" s="2" t="s">
        <v>187</v>
      </c>
    </row>
    <row r="4" customFormat="false" ht="30" hidden="false" customHeight="true" outlineLevel="0" collapsed="false">
      <c r="A4" s="17" t="s">
        <v>188</v>
      </c>
      <c r="B4" s="17" t="s">
        <v>189</v>
      </c>
      <c r="C4" s="17" t="s">
        <v>190</v>
      </c>
      <c r="D4" s="17" t="s">
        <v>191</v>
      </c>
      <c r="E4" s="17" t="s">
        <v>192</v>
      </c>
      <c r="F4" s="17" t="s">
        <v>193</v>
      </c>
      <c r="G4" s="17" t="s">
        <v>194</v>
      </c>
    </row>
    <row r="5" customFormat="false" ht="30" hidden="false" customHeight="true" outlineLevel="0" collapsed="false">
      <c r="A5" s="28" t="s">
        <v>195</v>
      </c>
      <c r="B5" s="7" t="s">
        <v>196</v>
      </c>
      <c r="C5" s="34" t="n">
        <v>0.2</v>
      </c>
      <c r="D5" s="35" t="n">
        <v>0.2</v>
      </c>
      <c r="E5" s="36" t="n">
        <v>0.95</v>
      </c>
      <c r="F5" s="37" t="n">
        <f aca="false">D5*E5</f>
        <v>0.19</v>
      </c>
      <c r="G5" s="24" t="s">
        <v>197</v>
      </c>
    </row>
    <row r="6" customFormat="false" ht="30" hidden="false" customHeight="true" outlineLevel="0" collapsed="false">
      <c r="A6" s="28" t="s">
        <v>198</v>
      </c>
      <c r="B6" s="7" t="s">
        <v>199</v>
      </c>
      <c r="C6" s="34" t="n">
        <v>0.2</v>
      </c>
      <c r="D6" s="35" t="n">
        <v>0.2</v>
      </c>
      <c r="E6" s="36" t="n">
        <v>0.8</v>
      </c>
      <c r="F6" s="37" t="n">
        <f aca="false">D6*E6</f>
        <v>0.16</v>
      </c>
      <c r="G6" s="24" t="s">
        <v>200</v>
      </c>
    </row>
    <row r="7" customFormat="false" ht="30" hidden="false" customHeight="true" outlineLevel="0" collapsed="false">
      <c r="A7" s="28" t="s">
        <v>201</v>
      </c>
      <c r="B7" s="7" t="s">
        <v>202</v>
      </c>
      <c r="C7" s="34" t="n">
        <v>0.1</v>
      </c>
      <c r="D7" s="35" t="n">
        <v>0.1</v>
      </c>
      <c r="E7" s="36" t="n">
        <v>0</v>
      </c>
      <c r="F7" s="37" t="n">
        <f aca="false">D7*E7</f>
        <v>0</v>
      </c>
      <c r="G7" s="24" t="s">
        <v>203</v>
      </c>
    </row>
    <row r="8" customFormat="false" ht="30" hidden="false" customHeight="true" outlineLevel="0" collapsed="false">
      <c r="A8" s="28" t="s">
        <v>204</v>
      </c>
      <c r="B8" s="7" t="s">
        <v>205</v>
      </c>
      <c r="C8" s="34" t="n">
        <v>0.12</v>
      </c>
      <c r="D8" s="35" t="n">
        <v>0.12</v>
      </c>
      <c r="E8" s="36" t="n">
        <v>0.65</v>
      </c>
      <c r="F8" s="37" t="n">
        <f aca="false">D8*E8</f>
        <v>0.078</v>
      </c>
      <c r="G8" s="24" t="s">
        <v>206</v>
      </c>
    </row>
    <row r="9" customFormat="false" ht="30" hidden="false" customHeight="true" outlineLevel="0" collapsed="false">
      <c r="A9" s="28" t="s">
        <v>207</v>
      </c>
      <c r="B9" s="7" t="s">
        <v>208</v>
      </c>
      <c r="C9" s="34" t="n">
        <v>0.12</v>
      </c>
      <c r="D9" s="35" t="n">
        <v>0.12</v>
      </c>
      <c r="E9" s="36" t="n">
        <v>0.7</v>
      </c>
      <c r="F9" s="37" t="n">
        <f aca="false">D9*E9</f>
        <v>0.084</v>
      </c>
      <c r="G9" s="24" t="s">
        <v>209</v>
      </c>
    </row>
    <row r="10" customFormat="false" ht="30" hidden="false" customHeight="true" outlineLevel="0" collapsed="false">
      <c r="A10" s="28" t="s">
        <v>210</v>
      </c>
      <c r="B10" s="7" t="s">
        <v>211</v>
      </c>
      <c r="C10" s="34" t="n">
        <v>0.14</v>
      </c>
      <c r="D10" s="35" t="n">
        <v>0.14</v>
      </c>
      <c r="E10" s="36" t="n">
        <v>0.5</v>
      </c>
      <c r="F10" s="37" t="n">
        <f aca="false">D10*E10</f>
        <v>0.07</v>
      </c>
      <c r="G10" s="24" t="s">
        <v>212</v>
      </c>
    </row>
    <row r="11" customFormat="false" ht="30" hidden="false" customHeight="true" outlineLevel="0" collapsed="false">
      <c r="A11" s="28" t="s">
        <v>213</v>
      </c>
      <c r="B11" s="7" t="s">
        <v>214</v>
      </c>
      <c r="C11" s="34" t="n">
        <v>0.12</v>
      </c>
      <c r="D11" s="35" t="n">
        <v>0.12</v>
      </c>
      <c r="E11" s="36" t="n">
        <v>0.55</v>
      </c>
      <c r="F11" s="37" t="n">
        <f aca="false">D11*E11</f>
        <v>0.066</v>
      </c>
      <c r="G11" s="24" t="s">
        <v>215</v>
      </c>
    </row>
    <row r="12" customFormat="false" ht="15" hidden="false" customHeight="false" outlineLevel="0" collapsed="false">
      <c r="A12" s="38"/>
      <c r="B12" s="22" t="s">
        <v>216</v>
      </c>
      <c r="C12" s="39" t="n">
        <f aca="false">SUM(C5:C11)</f>
        <v>1</v>
      </c>
      <c r="D12" s="39" t="n">
        <f aca="false">SUM(D5:D11)</f>
        <v>1</v>
      </c>
      <c r="E12" s="38"/>
      <c r="F12" s="39" t="n">
        <f aca="false">SUM(F5:F11)</f>
        <v>0.648</v>
      </c>
      <c r="G12" s="38"/>
    </row>
    <row r="13" customFormat="false" ht="31.5" hidden="false" customHeight="true" outlineLevel="0" collapsed="false">
      <c r="B13" s="40" t="str">
        <f aca="false">IF(ROUND(D12,4)=1,"Weights total 100% — the figure to the right is your completion.","Your weights total "&amp;TEXT(D12,"0.0%")&amp;" — adjust them to 100% or the figure is not comparable to mine.")</f>
        <v>Weights total 100% — the figure to the right is your completion.</v>
      </c>
      <c r="F13" s="41" t="n">
        <f aca="false">F12</f>
        <v>0.648</v>
      </c>
    </row>
    <row r="15" customFormat="false" ht="15" hidden="false" customHeight="false" outlineLevel="0" collapsed="false">
      <c r="B15" s="42" t="s">
        <v>217</v>
      </c>
    </row>
    <row r="16" customFormat="false" ht="45.75" hidden="false" customHeight="true" outlineLevel="0" collapsed="false">
      <c r="B16" s="43" t="s">
        <v>218</v>
      </c>
      <c r="C16" s="43"/>
      <c r="D16" s="43"/>
      <c r="E16" s="43"/>
      <c r="F16" s="43"/>
      <c r="G16" s="43"/>
    </row>
  </sheetData>
  <mergeCells count="1">
    <mergeCell ref="B16:G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4" min="3" style="0" width="16"/>
    <col collapsed="false" customWidth="true" hidden="false" outlineLevel="0" max="5" min="5" style="0" width="52"/>
  </cols>
  <sheetData>
    <row r="1" customFormat="false" ht="19.5" hidden="false" customHeight="true" outlineLevel="0" collapsed="false">
      <c r="A1" s="16" t="s">
        <v>219</v>
      </c>
    </row>
    <row r="2" customFormat="false" ht="15" hidden="false" customHeight="false" outlineLevel="0" collapsed="false">
      <c r="A2" s="2" t="s">
        <v>220</v>
      </c>
    </row>
    <row r="4" customFormat="false" ht="30" hidden="false" customHeight="true" outlineLevel="0" collapsed="false">
      <c r="A4" s="17" t="s">
        <v>221</v>
      </c>
      <c r="B4" s="17" t="s">
        <v>222</v>
      </c>
      <c r="C4" s="17" t="s">
        <v>223</v>
      </c>
      <c r="D4" s="17" t="s">
        <v>224</v>
      </c>
      <c r="E4" s="17" t="s">
        <v>225</v>
      </c>
    </row>
    <row r="5" customFormat="false" ht="42" hidden="false" customHeight="true" outlineLevel="0" collapsed="false">
      <c r="A5" s="22" t="s">
        <v>226</v>
      </c>
      <c r="B5" s="7" t="s">
        <v>227</v>
      </c>
      <c r="C5" s="44" t="s">
        <v>228</v>
      </c>
      <c r="D5" s="30"/>
      <c r="E5" s="24" t="s">
        <v>229</v>
      </c>
    </row>
    <row r="6" customFormat="false" ht="42" hidden="false" customHeight="true" outlineLevel="0" collapsed="false">
      <c r="A6" s="22" t="s">
        <v>230</v>
      </c>
      <c r="B6" s="7" t="s">
        <v>231</v>
      </c>
      <c r="C6" s="31" t="s">
        <v>232</v>
      </c>
      <c r="D6" s="30"/>
      <c r="E6" s="24" t="s">
        <v>233</v>
      </c>
    </row>
    <row r="7" customFormat="false" ht="42" hidden="false" customHeight="true" outlineLevel="0" collapsed="false">
      <c r="A7" s="22" t="s">
        <v>234</v>
      </c>
      <c r="B7" s="7" t="s">
        <v>235</v>
      </c>
      <c r="C7" s="29" t="s">
        <v>236</v>
      </c>
      <c r="D7" s="30"/>
      <c r="E7" s="24" t="s">
        <v>237</v>
      </c>
    </row>
    <row r="8" customFormat="false" ht="42" hidden="false" customHeight="true" outlineLevel="0" collapsed="false">
      <c r="A8" s="22" t="s">
        <v>238</v>
      </c>
      <c r="B8" s="7" t="s">
        <v>239</v>
      </c>
      <c r="C8" s="29" t="s">
        <v>236</v>
      </c>
      <c r="D8" s="30"/>
      <c r="E8" s="24" t="s">
        <v>240</v>
      </c>
    </row>
    <row r="9" customFormat="false" ht="42" hidden="false" customHeight="true" outlineLevel="0" collapsed="false">
      <c r="A9" s="22" t="s">
        <v>241</v>
      </c>
      <c r="B9" s="7" t="s">
        <v>242</v>
      </c>
      <c r="C9" s="29" t="s">
        <v>236</v>
      </c>
      <c r="D9" s="30"/>
      <c r="E9" s="24" t="s">
        <v>243</v>
      </c>
    </row>
    <row r="10" customFormat="false" ht="42" hidden="false" customHeight="true" outlineLevel="0" collapsed="false">
      <c r="A10" s="22" t="s">
        <v>244</v>
      </c>
      <c r="B10" s="7" t="s">
        <v>245</v>
      </c>
      <c r="C10" s="29" t="s">
        <v>236</v>
      </c>
      <c r="D10" s="30"/>
      <c r="E10" s="24" t="s">
        <v>246</v>
      </c>
    </row>
    <row r="11" customFormat="false" ht="42" hidden="false" customHeight="true" outlineLevel="0" collapsed="false">
      <c r="A11" s="22" t="s">
        <v>247</v>
      </c>
      <c r="B11" s="7" t="s">
        <v>248</v>
      </c>
      <c r="C11" s="29" t="s">
        <v>236</v>
      </c>
      <c r="D11" s="30"/>
      <c r="E11" s="24" t="s">
        <v>249</v>
      </c>
    </row>
    <row r="13" customFormat="false" ht="15" hidden="false" customHeight="false" outlineLevel="0" collapsed="false">
      <c r="A13" s="5" t="s">
        <v>250</v>
      </c>
    </row>
    <row r="14" customFormat="false" ht="27.75" hidden="false" customHeight="true" outlineLevel="0" collapsed="false">
      <c r="A14" s="45" t="n">
        <v>1</v>
      </c>
      <c r="B14" s="7" t="s">
        <v>251</v>
      </c>
      <c r="C14" s="7"/>
      <c r="D14" s="30"/>
      <c r="E14" s="38"/>
    </row>
    <row r="15" customFormat="false" ht="27.75" hidden="false" customHeight="true" outlineLevel="0" collapsed="false">
      <c r="A15" s="45" t="n">
        <v>2</v>
      </c>
      <c r="B15" s="7" t="s">
        <v>252</v>
      </c>
      <c r="C15" s="7"/>
      <c r="D15" s="30"/>
      <c r="E15" s="38"/>
    </row>
    <row r="16" customFormat="false" ht="27.75" hidden="false" customHeight="true" outlineLevel="0" collapsed="false">
      <c r="A16" s="45" t="n">
        <v>3</v>
      </c>
      <c r="B16" s="7" t="s">
        <v>253</v>
      </c>
      <c r="C16" s="7"/>
      <c r="D16" s="30"/>
      <c r="E16" s="38"/>
    </row>
    <row r="17" customFormat="false" ht="27.75" hidden="false" customHeight="true" outlineLevel="0" collapsed="false">
      <c r="A17" s="45" t="n">
        <v>4</v>
      </c>
      <c r="B17" s="7" t="s">
        <v>254</v>
      </c>
      <c r="C17" s="7"/>
      <c r="D17" s="30"/>
      <c r="E17" s="38"/>
    </row>
    <row r="18" customFormat="false" ht="27.75" hidden="false" customHeight="true" outlineLevel="0" collapsed="false">
      <c r="A18" s="45" t="n">
        <v>5</v>
      </c>
      <c r="B18" s="7" t="s">
        <v>255</v>
      </c>
      <c r="C18" s="7"/>
      <c r="D18" s="30"/>
      <c r="E18" s="38"/>
    </row>
    <row r="19" customFormat="false" ht="27.75" hidden="false" customHeight="true" outlineLevel="0" collapsed="false">
      <c r="A19" s="45" t="n">
        <v>6</v>
      </c>
      <c r="B19" s="7" t="s">
        <v>256</v>
      </c>
      <c r="C19" s="7"/>
      <c r="D19" s="30"/>
      <c r="E19" s="38"/>
    </row>
    <row r="20" customFormat="false" ht="27.75" hidden="false" customHeight="true" outlineLevel="0" collapsed="false">
      <c r="A20" s="45" t="n">
        <v>7</v>
      </c>
      <c r="B20" s="7" t="s">
        <v>257</v>
      </c>
      <c r="C20" s="7"/>
      <c r="D20" s="30"/>
      <c r="E20" s="38"/>
    </row>
    <row r="21" customFormat="false" ht="27.75" hidden="false" customHeight="true" outlineLevel="0" collapsed="false">
      <c r="A21" s="45" t="n">
        <v>8</v>
      </c>
      <c r="B21" s="7" t="s">
        <v>258</v>
      </c>
      <c r="C21" s="7"/>
      <c r="D21" s="30"/>
      <c r="E21" s="38"/>
    </row>
    <row r="22" customFormat="false" ht="15" hidden="false" customHeight="false" outlineLevel="0" collapsed="false">
      <c r="B22" s="9" t="str">
        <f aca="false">COUNTIF(D14:D21,"Met")&amp;" of 8 release criteria met"</f>
        <v>0 of 8 release criteria met</v>
      </c>
    </row>
  </sheetData>
  <mergeCells count="8">
    <mergeCell ref="B14:C14"/>
    <mergeCell ref="B15:C15"/>
    <mergeCell ref="B16:C16"/>
    <mergeCell ref="B17:C17"/>
    <mergeCell ref="B18:C18"/>
    <mergeCell ref="B19:C19"/>
    <mergeCell ref="B20:C20"/>
    <mergeCell ref="B21:C21"/>
  </mergeCells>
  <dataValidations count="2">
    <dataValidation allowBlank="true" errorStyle="stop" operator="between" showDropDown="false" showErrorMessage="false" showInputMessage="false" sqref="D5:D11" type="list">
      <formula1>"PASSED,AT RISK,NOT MET"</formula1>
      <formula2>0</formula2>
    </dataValidation>
    <dataValidation allowBlank="true" errorStyle="stop" operator="between" showDropDown="false" showErrorMessage="false" showInputMessage="false" sqref="D14:D21" type="list">
      <formula1>"Met,Not met,In progress"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2026-08-08T19:11:23Z</dcterms:created>
  <dc:creator>openpyxl</dc:creator>
  <dc:description/>
  <dc:language>en-IN</dc:language>
  <cp:lastModifiedBy/>
  <dcterms:modified xsi:type="dcterms:W3CDTF">2026-08-08T19:11:23Z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